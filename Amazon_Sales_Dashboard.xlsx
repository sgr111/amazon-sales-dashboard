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worksheets/sheet5.xml" ContentType="application/vnd.openxmlformats-officedocument.spreadsheetml.worksheet+xml"/>
  <Override PartName="/xl/drawings/drawing4.xml" ContentType="application/vnd.openxmlformats-officedocument.drawing+xml"/>
  <Override PartName="/xl/worksheets/sheet6.xml" ContentType="application/vnd.openxmlformats-officedocument.spreadsheetml.worksheet+xml"/>
  <Override PartName="/xl/drawings/drawing5.xml" ContentType="application/vnd.openxmlformats-officedocument.drawing+xml"/>
  <Override PartName="/xl/worksheets/sheet7.xml" ContentType="application/vnd.openxmlformats-officedocument.spreadsheetml.worksheet+xml"/>
  <Override PartName="/xl/drawings/drawing6.xml" ContentType="application/vnd.openxmlformats-officedocument.drawing+xml"/>
  <Override PartName="/xl/worksheets/sheet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Revenue by Category" sheetId="2" state="visible" r:id="rId2"/>
    <sheet xmlns:r="http://schemas.openxmlformats.org/officeDocument/2006/relationships" name="Revenue by State" sheetId="3" state="visible" r:id="rId3"/>
    <sheet xmlns:r="http://schemas.openxmlformats.org/officeDocument/2006/relationships" name="Monthly Trend" sheetId="4" state="visible" r:id="rId4"/>
    <sheet xmlns:r="http://schemas.openxmlformats.org/officeDocument/2006/relationships" name="Order Status" sheetId="5" state="visible" r:id="rId5"/>
    <sheet xmlns:r="http://schemas.openxmlformats.org/officeDocument/2006/relationships" name="Return Rate" sheetId="6" state="visible" r:id="rId6"/>
    <sheet xmlns:r="http://schemas.openxmlformats.org/officeDocument/2006/relationships" name="Top Cities" sheetId="7" state="visible" r:id="rId7"/>
    <sheet xmlns:r="http://schemas.openxmlformats.org/officeDocument/2006/relationships" name="📋 Steps &amp; Method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&quot;%&quot;"/>
  </numFmts>
  <fonts count="12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0"/>
    </font>
    <font>
      <name val="Calibri"/>
      <b val="1"/>
      <color rgb="00FFFFFF"/>
      <sz val="10"/>
    </font>
    <font>
      <name val="Calibri"/>
      <b val="1"/>
      <color rgb="002E75B6"/>
      <sz val="16"/>
    </font>
    <font>
      <name val="Calibri"/>
      <b val="1"/>
      <color rgb="001E7145"/>
      <sz val="16"/>
    </font>
    <font>
      <name val="Calibri"/>
      <b val="1"/>
      <color rgb="00C00000"/>
      <sz val="16"/>
    </font>
    <font>
      <name val="Calibri"/>
      <b val="1"/>
      <color rgb="001F3864"/>
      <sz val="16"/>
    </font>
    <font>
      <name val="Calibri"/>
      <b val="1"/>
      <color rgb="00FFFFFF"/>
      <sz val="11"/>
    </font>
    <font>
      <name val="Calibri"/>
      <b val="1"/>
      <color rgb="00FFFFFF"/>
      <sz val="14"/>
    </font>
    <font>
      <name val="Calibri"/>
      <color rgb="001A1A1A"/>
      <sz val="10"/>
    </font>
    <font>
      <name val="Calibri"/>
      <b val="1"/>
      <color rgb="001A1A1A"/>
      <sz val="10"/>
    </font>
  </fonts>
  <fills count="11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F2F2F2"/>
      </patternFill>
    </fill>
    <fill>
      <patternFill patternType="solid">
        <fgColor rgb="001E7145"/>
      </patternFill>
    </fill>
    <fill>
      <patternFill patternType="solid">
        <fgColor rgb="00C00000"/>
      </patternFill>
    </fill>
    <fill>
      <patternFill patternType="solid">
        <fgColor rgb="00FFFFFF"/>
      </patternFill>
    </fill>
    <fill>
      <patternFill patternType="solid">
        <fgColor rgb="00E8A838"/>
      </patternFill>
    </fill>
    <fill>
      <patternFill patternType="solid">
        <fgColor rgb="002196F3"/>
      </patternFill>
    </fill>
    <fill>
      <patternFill patternType="solid">
        <fgColor rgb="009E9E9E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/>
    </xf>
    <xf numFmtId="0" fontId="3" fillId="5" borderId="0" applyAlignment="1" pivotButton="0" quotePrefix="0" xfId="0">
      <alignment horizontal="center" vertical="center"/>
    </xf>
    <xf numFmtId="0" fontId="3" fillId="6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0" fontId="8" fillId="3" borderId="0" applyAlignment="1" pivotButton="0" quotePrefix="0" xfId="0">
      <alignment horizontal="left" vertical="center"/>
    </xf>
    <xf numFmtId="0" fontId="9" fillId="2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10" fillId="7" borderId="1" applyAlignment="1" pivotButton="0" quotePrefix="0" xfId="0">
      <alignment horizontal="center" vertical="center"/>
    </xf>
    <xf numFmtId="4" fontId="10" fillId="7" borderId="1" applyAlignment="1" pivotButton="0" quotePrefix="0" xfId="0">
      <alignment horizontal="center" vertical="center"/>
    </xf>
    <xf numFmtId="164" fontId="10" fillId="7" borderId="1" applyAlignment="1" pivotButton="0" quotePrefix="0" xfId="0">
      <alignment horizontal="center" vertical="center"/>
    </xf>
    <xf numFmtId="0" fontId="10" fillId="4" borderId="1" applyAlignment="1" pivotButton="0" quotePrefix="0" xfId="0">
      <alignment horizontal="center" vertical="center"/>
    </xf>
    <xf numFmtId="4" fontId="10" fillId="4" borderId="1" applyAlignment="1" pivotButton="0" quotePrefix="0" xfId="0">
      <alignment horizontal="center" vertical="center"/>
    </xf>
    <xf numFmtId="164" fontId="10" fillId="4" borderId="1" applyAlignment="1" pivotButton="0" quotePrefix="0" xfId="0">
      <alignment horizontal="center" vertical="center"/>
    </xf>
    <xf numFmtId="0" fontId="11" fillId="8" borderId="1" applyAlignment="1" pivotButton="0" quotePrefix="0" xfId="0">
      <alignment horizontal="center" vertical="center"/>
    </xf>
    <xf numFmtId="10" fontId="10" fillId="4" borderId="1" applyAlignment="1" pivotButton="0" quotePrefix="0" xfId="0">
      <alignment horizontal="center" vertical="center"/>
    </xf>
    <xf numFmtId="10" fontId="10" fillId="7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11" fillId="7" borderId="1" applyAlignment="1" pivotButton="0" quotePrefix="0" xfId="0">
      <alignment horizontal="center" vertical="center"/>
    </xf>
    <xf numFmtId="164" fontId="11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center" wrapText="1"/>
    </xf>
    <xf numFmtId="0" fontId="10" fillId="4" borderId="1" applyAlignment="1" pivotButton="0" quotePrefix="0" xfId="0">
      <alignment horizontal="center" vertical="center" wrapText="1"/>
    </xf>
    <xf numFmtId="0" fontId="10" fillId="4" borderId="1" applyAlignment="1" pivotButton="0" quotePrefix="0" xfId="0">
      <alignment horizontal="left" vertical="center" wrapText="1"/>
    </xf>
    <xf numFmtId="0" fontId="10" fillId="7" borderId="1" applyAlignment="1" pivotButton="0" quotePrefix="0" xfId="0">
      <alignment horizontal="center" vertical="center" wrapText="1"/>
    </xf>
    <xf numFmtId="0" fontId="10" fillId="7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Revenue by Category (₹)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'Revenue by Category'!D2</f>
            </strRef>
          </tx>
          <spPr>
            <a:solidFill xmlns:a="http://schemas.openxmlformats.org/drawingml/2006/main">
              <a:srgbClr val="2E75B6"/>
            </a:solidFill>
            <a:ln xmlns:a="http://schemas.openxmlformats.org/drawingml/2006/main">
              <a:prstDash val="solid"/>
            </a:ln>
          </spPr>
          <cat>
            <numRef>
              <f>'Revenue by Category'!$A$3:$A$10</f>
            </numRef>
          </cat>
          <val>
            <numRef>
              <f>'Revenue by Category'!$D$3:$D$10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Category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Revenue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Top 10 States by Revenue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'Revenue by State'!C2</f>
            </strRef>
          </tx>
          <spPr>
            <a:solidFill xmlns:a="http://schemas.openxmlformats.org/drawingml/2006/main">
              <a:srgbClr val="1F3864"/>
            </a:solidFill>
            <a:ln xmlns:a="http://schemas.openxmlformats.org/drawingml/2006/main">
              <a:prstDash val="solid"/>
            </a:ln>
          </spPr>
          <cat>
            <numRef>
              <f>'Revenue by State'!$A$3:$A$12</f>
            </numRef>
          </cat>
          <val>
            <numRef>
              <f>'Revenue by State'!$C$3:$C$12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Monthly Revenue Trend</a:t>
            </a:r>
          </a:p>
        </rich>
      </tx>
    </title>
    <plotArea>
      <lineChart>
        <grouping val="standard"/>
        <ser>
          <idx val="0"/>
          <order val="0"/>
          <tx>
            <strRef>
              <f>'Monthly Trend'!C2</f>
            </strRef>
          </tx>
          <spPr>
            <a:ln xmlns:a="http://schemas.openxmlformats.org/drawingml/2006/main" w="25000">
              <a:solidFill>
                <a:srgbClr val="2E75B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'Monthly Trend'!$A$3:$A$14</f>
            </numRef>
          </cat>
          <val>
            <numRef>
              <f>'Monthly Trend'!$C$3:$C$14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Revenue (₹)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Order Status Distribution</a:t>
            </a:r>
          </a:p>
        </rich>
      </tx>
    </title>
    <plotArea>
      <pieChart>
        <varyColors val="1"/>
        <ser>
          <idx val="0"/>
          <order val="0"/>
          <tx>
            <strRef>
              <f>'Order Status'!B2</f>
            </strRef>
          </tx>
          <spPr>
            <a:ln xmlns:a="http://schemas.openxmlformats.org/drawingml/2006/main">
              <a:prstDash val="solid"/>
            </a:ln>
          </spPr>
          <cat>
            <numRef>
              <f>'Order Status'!$A$3:$A$7</f>
            </numRef>
          </cat>
          <val>
            <numRef>
              <f>'Order Status'!$B$3:$B$7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5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Return Rate % by Category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'Return Rate'!D2</f>
            </strRef>
          </tx>
          <spPr>
            <a:solidFill xmlns:a="http://schemas.openxmlformats.org/drawingml/2006/main">
              <a:srgbClr val="E8A838"/>
            </a:solidFill>
            <a:ln xmlns:a="http://schemas.openxmlformats.org/drawingml/2006/main">
              <a:prstDash val="solid"/>
            </a:ln>
          </spPr>
          <cat>
            <numRef>
              <f>'Return Rate'!$A$3:$A$10</f>
            </numRef>
          </cat>
          <val>
            <numRef>
              <f>'Return Rate'!$D$3:$D$10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Top 12 Cities by Orders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'Top Cities'!C2</f>
            </strRef>
          </tx>
          <spPr>
            <a:solidFill xmlns:a="http://schemas.openxmlformats.org/drawingml/2006/main">
              <a:srgbClr val="1E7145"/>
            </a:solidFill>
            <a:ln xmlns:a="http://schemas.openxmlformats.org/drawingml/2006/main">
              <a:prstDash val="solid"/>
            </a:ln>
          </spPr>
          <cat>
            <numRef>
              <f>'Top Cities'!$A$3:$A$14</f>
            </numRef>
          </cat>
          <val>
            <numRef>
              <f>'Top Cities'!$C$3:$C$14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_rels/drawing4.xml.rels><Relationships xmlns="http://schemas.openxmlformats.org/package/2006/relationships"><Relationship Type="http://schemas.openxmlformats.org/officeDocument/2006/relationships/chart" Target="/xl/charts/chart4.xml" Id="rId1"/></Relationships>
</file>

<file path=xl/drawings/_rels/drawing5.xml.rels><Relationships xmlns="http://schemas.openxmlformats.org/package/2006/relationships"><Relationship Type="http://schemas.openxmlformats.org/officeDocument/2006/relationships/chart" Target="/xl/charts/chart5.xml" Id="rId1"/></Relationships>
</file>

<file path=xl/drawings/_rels/drawing6.xml.rels><Relationships xmlns="http://schemas.openxmlformats.org/package/2006/relationships"><Relationship Type="http://schemas.openxmlformats.org/officeDocument/2006/relationships/chart" Target="/xl/charts/chart6.xml" Id="rId1"/></Relationships>
</file>

<file path=xl/drawings/drawing1.xml><?xml version="1.0" encoding="utf-8"?>
<wsDr xmlns="http://schemas.openxmlformats.org/drawingml/2006/spreadsheetDrawing">
  <oneCellAnchor>
    <from>
      <col>6</col>
      <colOff>0</colOff>
      <row>1</row>
      <rowOff>0</rowOff>
    </from>
    <ext cx="648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5</col>
      <colOff>0</colOff>
      <row>1</row>
      <rowOff>0</rowOff>
    </from>
    <ext cx="648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5</col>
      <colOff>0</colOff>
      <row>1</row>
      <rowOff>0</rowOff>
    </from>
    <ext cx="720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4.xml><?xml version="1.0" encoding="utf-8"?>
<wsDr xmlns="http://schemas.openxmlformats.org/drawingml/2006/spreadsheetDrawing">
  <oneCellAnchor>
    <from>
      <col>4</col>
      <colOff>0</colOff>
      <row>1</row>
      <rowOff>0</rowOff>
    </from>
    <ext cx="504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5.xml><?xml version="1.0" encoding="utf-8"?>
<wsDr xmlns="http://schemas.openxmlformats.org/drawingml/2006/spreadsheetDrawing">
  <oneCellAnchor>
    <from>
      <col>6</col>
      <colOff>0</colOff>
      <row>1</row>
      <rowOff>0</rowOff>
    </from>
    <ext cx="576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6.xml><?xml version="1.0" encoding="utf-8"?>
<wsDr xmlns="http://schemas.openxmlformats.org/drawingml/2006/spreadsheetDrawing">
  <oneCellAnchor>
    <from>
      <col>5</col>
      <colOff>0</colOff>
      <row>1</row>
      <rowOff>0</rowOff>
    </from>
    <ext cx="648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6.xml" Id="rId1"/></Relationships>
</file>

<file path=xl/worksheets/sheet1.xml><?xml version="1.0" encoding="utf-8"?>
<worksheet xmlns="http://schemas.openxmlformats.org/spreadsheetml/2006/main">
  <sheetPr>
    <tabColor rgb="001F3864"/>
    <outlinePr summaryBelow="1" summaryRight="1"/>
    <pageSetUpPr/>
  </sheetPr>
  <dimension ref="A1:M10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18" customWidth="1" min="2" max="2"/>
    <col width="16" customWidth="1" min="3" max="3"/>
    <col width="2" customWidth="1" min="4" max="4"/>
    <col width="18" customWidth="1" min="5" max="5"/>
    <col width="16" customWidth="1" min="6" max="6"/>
    <col width="2" customWidth="1" min="7" max="7"/>
    <col width="18" customWidth="1" min="8" max="8"/>
    <col width="16" customWidth="1" min="9" max="9"/>
    <col width="2" customWidth="1" min="10" max="10"/>
    <col width="18" customWidth="1" min="11" max="11"/>
    <col width="16" customWidth="1" min="12" max="12"/>
    <col width="2" customWidth="1" min="13" max="13"/>
  </cols>
  <sheetData>
    <row r="1" ht="18" customHeight="1">
      <c r="A1" s="1" t="inlineStr">
        <is>
          <t>🛒  AMAZON INDIA FASHION SALES DASHBOARD</t>
        </is>
      </c>
    </row>
    <row r="2" ht="18" customHeight="1"/>
    <row r="3" ht="18" customHeight="1"/>
    <row r="4" ht="18" customHeight="1">
      <c r="A4" s="2" t="inlineStr">
        <is>
          <t>Analysis Period: Apr 2022 – Mar 2023  |  Data Source: PostgreSQL  |  10,000 Orders</t>
        </is>
      </c>
    </row>
    <row r="5" ht="18" customHeight="1"/>
    <row r="6" ht="18" customHeight="1">
      <c r="B6" s="3" t="inlineStr">
        <is>
          <t>💰 Total Revenue</t>
        </is>
      </c>
      <c r="E6" s="4" t="inlineStr">
        <is>
          <t>📦 Total Orders</t>
        </is>
      </c>
      <c r="H6" s="5" t="inlineStr">
        <is>
          <t>❌ Cancellation</t>
        </is>
      </c>
      <c r="K6" s="6" t="inlineStr">
        <is>
          <t>📊 Avg Order Val</t>
        </is>
      </c>
    </row>
    <row r="7" ht="18" customHeight="1">
      <c r="B7" s="7" t="inlineStr">
        <is>
          <t>₹1,17,74,295</t>
        </is>
      </c>
      <c r="E7" s="8" t="inlineStr">
        <is>
          <t>7,993</t>
        </is>
      </c>
      <c r="H7" s="9" t="inlineStr">
        <is>
          <t>20.07%</t>
        </is>
      </c>
      <c r="K7" s="10" t="inlineStr">
        <is>
          <t>₹1,472</t>
        </is>
      </c>
    </row>
    <row r="8" ht="18" customHeight="1"/>
    <row r="9" ht="18" customHeight="1"/>
    <row r="10" ht="18" customHeight="1">
      <c r="A10" s="11" t="inlineStr">
        <is>
          <t xml:space="preserve">  SALES PERFORMANCE OVERVIEW</t>
        </is>
      </c>
    </row>
    <row r="11" ht="18" customHeight="1"/>
    <row r="12" ht="18" customHeight="1"/>
    <row r="13" ht="18" customHeight="1"/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</sheetData>
  <mergeCells count="11">
    <mergeCell ref="E7:F9"/>
    <mergeCell ref="K7:L9"/>
    <mergeCell ref="B6:C6"/>
    <mergeCell ref="H7:I9"/>
    <mergeCell ref="E6:F6"/>
    <mergeCell ref="H6:I6"/>
    <mergeCell ref="A1:M3"/>
    <mergeCell ref="B7:C9"/>
    <mergeCell ref="A4:M4"/>
    <mergeCell ref="K6:L6"/>
    <mergeCell ref="A10:M1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E75B6"/>
    <outlinePr summaryBelow="1" summaryRight="1"/>
    <pageSetUpPr/>
  </sheetPr>
  <dimension ref="A1:E10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2" customWidth="1" min="3" max="3"/>
    <col width="16" customWidth="1" min="4" max="4"/>
    <col width="12" customWidth="1" min="5" max="5"/>
  </cols>
  <sheetData>
    <row r="1" ht="28" customHeight="1">
      <c r="A1" s="12" t="inlineStr">
        <is>
          <t>Revenue by Category</t>
        </is>
      </c>
    </row>
    <row r="2">
      <c r="A2" s="13" t="inlineStr">
        <is>
          <t>Category</t>
        </is>
      </c>
      <c r="B2" s="13" t="inlineStr">
        <is>
          <t>Total Orders</t>
        </is>
      </c>
      <c r="C2" s="13" t="inlineStr">
        <is>
          <t>Units Sold</t>
        </is>
      </c>
      <c r="D2" s="13" t="inlineStr">
        <is>
          <t>Revenue (₹)</t>
        </is>
      </c>
      <c r="E2" s="13" t="inlineStr">
        <is>
          <t>% of Total</t>
        </is>
      </c>
    </row>
    <row r="3">
      <c r="A3" s="14" t="inlineStr">
        <is>
          <t>Set</t>
        </is>
      </c>
      <c r="B3" s="14" t="n">
        <v>1335</v>
      </c>
      <c r="C3" s="14" t="n">
        <v>1854</v>
      </c>
      <c r="D3" s="15" t="n">
        <v>2773710.17</v>
      </c>
      <c r="E3" s="16">
        <f>D3/SUM($D$3:$D$10)*100</f>
        <v/>
      </c>
    </row>
    <row r="4">
      <c r="A4" s="17" t="inlineStr">
        <is>
          <t>Kurta</t>
        </is>
      </c>
      <c r="B4" s="17" t="n">
        <v>1946</v>
      </c>
      <c r="C4" s="17" t="n">
        <v>2703</v>
      </c>
      <c r="D4" s="18" t="n">
        <v>2160450.2</v>
      </c>
      <c r="E4" s="19">
        <f>D4/SUM($D$3:$D$10)*100</f>
        <v/>
      </c>
    </row>
    <row r="5">
      <c r="A5" s="14" t="inlineStr">
        <is>
          <t>Saree</t>
        </is>
      </c>
      <c r="B5" s="14" t="n">
        <v>683</v>
      </c>
      <c r="C5" s="14" t="n">
        <v>979</v>
      </c>
      <c r="D5" s="15" t="n">
        <v>2024061</v>
      </c>
      <c r="E5" s="16">
        <f>D5/SUM($D$3:$D$10)*100</f>
        <v/>
      </c>
    </row>
    <row r="6">
      <c r="A6" s="17" t="inlineStr">
        <is>
          <t>Ethnic Dress</t>
        </is>
      </c>
      <c r="B6" s="17" t="n">
        <v>666</v>
      </c>
      <c r="C6" s="17" t="n">
        <v>940</v>
      </c>
      <c r="D6" s="18" t="n">
        <v>1692140.09</v>
      </c>
      <c r="E6" s="19">
        <f>D6/SUM($D$3:$D$10)*100</f>
        <v/>
      </c>
    </row>
    <row r="7">
      <c r="A7" s="14" t="inlineStr">
        <is>
          <t>Western Dress</t>
        </is>
      </c>
      <c r="B7" s="14" t="n">
        <v>655</v>
      </c>
      <c r="C7" s="14" t="n">
        <v>928</v>
      </c>
      <c r="D7" s="15" t="n">
        <v>1108868.7</v>
      </c>
      <c r="E7" s="16">
        <f>D7/SUM($D$3:$D$10)*100</f>
        <v/>
      </c>
    </row>
    <row r="8">
      <c r="A8" s="17" t="inlineStr">
        <is>
          <t>Top</t>
        </is>
      </c>
      <c r="B8" s="17" t="n">
        <v>1339</v>
      </c>
      <c r="C8" s="17" t="n">
        <v>1894</v>
      </c>
      <c r="D8" s="18" t="n">
        <v>1044142.12</v>
      </c>
      <c r="E8" s="19">
        <f>D8/SUM($D$3:$D$10)*100</f>
        <v/>
      </c>
    </row>
    <row r="9">
      <c r="A9" s="14" t="inlineStr">
        <is>
          <t>Bottom</t>
        </is>
      </c>
      <c r="B9" s="14" t="n">
        <v>687</v>
      </c>
      <c r="C9" s="14" t="n">
        <v>960</v>
      </c>
      <c r="D9" s="15" t="n">
        <v>536960</v>
      </c>
      <c r="E9" s="16">
        <f>D9/SUM($D$3:$D$10)*100</f>
        <v/>
      </c>
    </row>
    <row r="10">
      <c r="A10" s="17" t="inlineStr">
        <is>
          <t>Blouse</t>
        </is>
      </c>
      <c r="B10" s="17" t="n">
        <v>682</v>
      </c>
      <c r="C10" s="17" t="n">
        <v>954</v>
      </c>
      <c r="D10" s="18" t="n">
        <v>433962.59</v>
      </c>
      <c r="E10" s="19">
        <f>D10/SUM($D$3:$D$10)*100</f>
        <v/>
      </c>
    </row>
  </sheetData>
  <mergeCells count="1">
    <mergeCell ref="A1:E1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tabColor rgb="002E75B6"/>
    <outlinePr summaryBelow="1" summaryRight="1"/>
    <pageSetUpPr/>
  </sheetPr>
  <dimension ref="A1:D12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6" customWidth="1" min="3" max="3"/>
    <col width="8" customWidth="1" min="4" max="4"/>
  </cols>
  <sheetData>
    <row r="1" ht="28" customHeight="1">
      <c r="A1" s="12" t="inlineStr">
        <is>
          <t>Top 10 States by Revenue</t>
        </is>
      </c>
    </row>
    <row r="2">
      <c r="A2" s="13" t="inlineStr">
        <is>
          <t>State</t>
        </is>
      </c>
      <c r="B2" s="13" t="inlineStr">
        <is>
          <t>Total Orders</t>
        </is>
      </c>
      <c r="C2" s="13" t="inlineStr">
        <is>
          <t>Revenue (₹)</t>
        </is>
      </c>
      <c r="D2" s="13" t="inlineStr">
        <is>
          <t>Rank</t>
        </is>
      </c>
    </row>
    <row r="3">
      <c r="A3" s="14" t="inlineStr">
        <is>
          <t>Uttar Pradesh</t>
        </is>
      </c>
      <c r="B3" s="14" t="n">
        <v>1676</v>
      </c>
      <c r="C3" s="15" t="n">
        <v>2476809.61</v>
      </c>
      <c r="D3" s="20" t="n">
        <v>1</v>
      </c>
    </row>
    <row r="4">
      <c r="A4" s="17" t="inlineStr">
        <is>
          <t>Gujarat</t>
        </is>
      </c>
      <c r="B4" s="17" t="n">
        <v>1326</v>
      </c>
      <c r="C4" s="18" t="n">
        <v>2000871.12</v>
      </c>
      <c r="D4" s="17" t="n">
        <v>2</v>
      </c>
    </row>
    <row r="5">
      <c r="A5" s="14" t="inlineStr">
        <is>
          <t>Maharashtra</t>
        </is>
      </c>
      <c r="B5" s="14" t="n">
        <v>1311</v>
      </c>
      <c r="C5" s="15" t="n">
        <v>1799572.3</v>
      </c>
      <c r="D5" s="14" t="n">
        <v>3</v>
      </c>
    </row>
    <row r="6">
      <c r="A6" s="17" t="inlineStr">
        <is>
          <t>Madhya Pradesh</t>
        </is>
      </c>
      <c r="B6" s="17" t="n">
        <v>672</v>
      </c>
      <c r="C6" s="18" t="n">
        <v>1000783.94</v>
      </c>
      <c r="D6" s="17" t="n">
        <v>4</v>
      </c>
    </row>
    <row r="7">
      <c r="A7" s="14" t="inlineStr">
        <is>
          <t>Rajasthan</t>
        </is>
      </c>
      <c r="B7" s="14" t="n">
        <v>363</v>
      </c>
      <c r="C7" s="15" t="n">
        <v>560401.86</v>
      </c>
      <c r="D7" s="14" t="n">
        <v>5</v>
      </c>
    </row>
    <row r="8">
      <c r="A8" s="17" t="inlineStr">
        <is>
          <t>Telangana</t>
        </is>
      </c>
      <c r="B8" s="17" t="n">
        <v>363</v>
      </c>
      <c r="C8" s="18" t="n">
        <v>525423.49</v>
      </c>
      <c r="D8" s="17" t="n">
        <v>6</v>
      </c>
    </row>
    <row r="9">
      <c r="A9" s="14" t="inlineStr">
        <is>
          <t>Tamil Nadu</t>
        </is>
      </c>
      <c r="B9" s="14" t="n">
        <v>330</v>
      </c>
      <c r="C9" s="15" t="n">
        <v>523427.38</v>
      </c>
      <c r="D9" s="14" t="n">
        <v>7</v>
      </c>
    </row>
    <row r="10">
      <c r="A10" s="17" t="inlineStr">
        <is>
          <t>Haryana</t>
        </is>
      </c>
      <c r="B10" s="17" t="n">
        <v>357</v>
      </c>
      <c r="C10" s="18" t="n">
        <v>506692.13</v>
      </c>
      <c r="D10" s="17" t="n">
        <v>8</v>
      </c>
    </row>
    <row r="11">
      <c r="A11" s="14" t="inlineStr">
        <is>
          <t>Bihar</t>
        </is>
      </c>
      <c r="B11" s="14" t="n">
        <v>354</v>
      </c>
      <c r="C11" s="15" t="n">
        <v>506552.91</v>
      </c>
      <c r="D11" s="14" t="n">
        <v>9</v>
      </c>
    </row>
    <row r="12">
      <c r="A12" s="17" t="inlineStr">
        <is>
          <t>West Bengal</t>
        </is>
      </c>
      <c r="B12" s="17" t="n">
        <v>311</v>
      </c>
      <c r="C12" s="18" t="n">
        <v>502919.26</v>
      </c>
      <c r="D12" s="17" t="n">
        <v>10</v>
      </c>
    </row>
  </sheetData>
  <mergeCells count="1">
    <mergeCell ref="A1:D1"/>
  </mergeCells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tabColor rgb="001E7145"/>
    <outlinePr summaryBelow="1" summaryRight="1"/>
    <pageSetUpPr/>
  </sheetPr>
  <dimension ref="A1:D14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6" customWidth="1" min="3" max="3"/>
    <col width="14" customWidth="1" min="4" max="4"/>
  </cols>
  <sheetData>
    <row r="1" ht="28" customHeight="1">
      <c r="A1" s="12" t="inlineStr">
        <is>
          <t>Monthly Revenue &amp; Order Trend</t>
        </is>
      </c>
    </row>
    <row r="2">
      <c r="A2" s="13" t="inlineStr">
        <is>
          <t>Month</t>
        </is>
      </c>
      <c r="B2" s="13" t="inlineStr">
        <is>
          <t>Orders</t>
        </is>
      </c>
      <c r="C2" s="13" t="inlineStr">
        <is>
          <t>Revenue (₹)</t>
        </is>
      </c>
      <c r="D2" s="13" t="inlineStr">
        <is>
          <t>MoM Growth</t>
        </is>
      </c>
    </row>
    <row r="3">
      <c r="A3" s="14" t="inlineStr">
        <is>
          <t>Apr 2022</t>
        </is>
      </c>
      <c r="B3" s="14" t="n">
        <v>633</v>
      </c>
      <c r="C3" s="15" t="n">
        <v>884341.49</v>
      </c>
      <c r="D3" s="14" t="inlineStr">
        <is>
          <t>—</t>
        </is>
      </c>
    </row>
    <row r="4">
      <c r="A4" s="17" t="inlineStr">
        <is>
          <t>May 2022</t>
        </is>
      </c>
      <c r="B4" s="17" t="n">
        <v>659</v>
      </c>
      <c r="C4" s="18" t="n">
        <v>953004.16</v>
      </c>
      <c r="D4" s="21">
        <f>(C4-C3)/C3</f>
        <v/>
      </c>
    </row>
    <row r="5">
      <c r="A5" s="14" t="inlineStr">
        <is>
          <t>Jun 2022</t>
        </is>
      </c>
      <c r="B5" s="14" t="n">
        <v>664</v>
      </c>
      <c r="C5" s="15" t="n">
        <v>910219.11</v>
      </c>
      <c r="D5" s="22">
        <f>(C5-C4)/C4</f>
        <v/>
      </c>
    </row>
    <row r="6">
      <c r="A6" s="17" t="inlineStr">
        <is>
          <t>Jul 2022</t>
        </is>
      </c>
      <c r="B6" s="17" t="n">
        <v>664</v>
      </c>
      <c r="C6" s="18" t="n">
        <v>995217.62</v>
      </c>
      <c r="D6" s="21">
        <f>(C6-C5)/C5</f>
        <v/>
      </c>
    </row>
    <row r="7">
      <c r="A7" s="14" t="inlineStr">
        <is>
          <t>Aug 2022</t>
        </is>
      </c>
      <c r="B7" s="14" t="n">
        <v>684</v>
      </c>
      <c r="C7" s="15" t="n">
        <v>993781.08</v>
      </c>
      <c r="D7" s="22">
        <f>(C7-C6)/C6</f>
        <v/>
      </c>
    </row>
    <row r="8">
      <c r="A8" s="17" t="inlineStr">
        <is>
          <t>Sep 2022</t>
        </is>
      </c>
      <c r="B8" s="17" t="n">
        <v>682</v>
      </c>
      <c r="C8" s="18" t="n">
        <v>987505.14</v>
      </c>
      <c r="D8" s="21">
        <f>(C8-C7)/C7</f>
        <v/>
      </c>
    </row>
    <row r="9">
      <c r="A9" s="14" t="inlineStr">
        <is>
          <t>Oct 2022</t>
        </is>
      </c>
      <c r="B9" s="14" t="n">
        <v>700</v>
      </c>
      <c r="C9" s="15" t="n">
        <v>1056146.11</v>
      </c>
      <c r="D9" s="22">
        <f>(C9-C8)/C8</f>
        <v/>
      </c>
    </row>
    <row r="10">
      <c r="A10" s="17" t="inlineStr">
        <is>
          <t>Nov 2022</t>
        </is>
      </c>
      <c r="B10" s="17" t="n">
        <v>652</v>
      </c>
      <c r="C10" s="18" t="n">
        <v>996371.6899999999</v>
      </c>
      <c r="D10" s="21">
        <f>(C10-C9)/C9</f>
        <v/>
      </c>
    </row>
    <row r="11">
      <c r="A11" s="14" t="inlineStr">
        <is>
          <t>Dec 2022</t>
        </is>
      </c>
      <c r="B11" s="14" t="n">
        <v>697</v>
      </c>
      <c r="C11" s="15" t="n">
        <v>1053050.1</v>
      </c>
      <c r="D11" s="22">
        <f>(C11-C10)/C10</f>
        <v/>
      </c>
    </row>
    <row r="12">
      <c r="A12" s="17" t="inlineStr">
        <is>
          <t>Jan 2023</t>
        </is>
      </c>
      <c r="B12" s="17" t="n">
        <v>677</v>
      </c>
      <c r="C12" s="18" t="n">
        <v>979328.66</v>
      </c>
      <c r="D12" s="21">
        <f>(C12-C11)/C11</f>
        <v/>
      </c>
    </row>
    <row r="13">
      <c r="A13" s="14" t="inlineStr">
        <is>
          <t>Feb 2023</t>
        </is>
      </c>
      <c r="B13" s="14" t="n">
        <v>593</v>
      </c>
      <c r="C13" s="15" t="n">
        <v>888461.8</v>
      </c>
      <c r="D13" s="22">
        <f>(C13-C12)/C12</f>
        <v/>
      </c>
    </row>
    <row r="14">
      <c r="A14" s="17" t="inlineStr">
        <is>
          <t>Mar 2023</t>
        </is>
      </c>
      <c r="B14" s="17" t="n">
        <v>688</v>
      </c>
      <c r="C14" s="18" t="n">
        <v>1076867.91</v>
      </c>
      <c r="D14" s="21">
        <f>(C14-C13)/C13</f>
        <v/>
      </c>
    </row>
  </sheetData>
  <mergeCells count="1">
    <mergeCell ref="A1:D1"/>
  </mergeCells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tabColor rgb="00C00000"/>
    <outlinePr summaryBelow="1" summaryRight="1"/>
    <pageSetUpPr/>
  </sheetPr>
  <dimension ref="A1:C7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6" customWidth="1" min="3" max="3"/>
  </cols>
  <sheetData>
    <row r="1" ht="28" customHeight="1">
      <c r="A1" s="12" t="inlineStr">
        <is>
          <t>Order Status Breakdown &amp; Cancellation Rate</t>
        </is>
      </c>
    </row>
    <row r="2">
      <c r="A2" s="13" t="inlineStr">
        <is>
          <t>Status</t>
        </is>
      </c>
      <c r="B2" s="13" t="inlineStr">
        <is>
          <t>Total Orders</t>
        </is>
      </c>
      <c r="C2" s="13" t="inlineStr">
        <is>
          <t>Percentage (%)</t>
        </is>
      </c>
    </row>
    <row r="3">
      <c r="A3" s="23" t="inlineStr">
        <is>
          <t>Shipped</t>
        </is>
      </c>
      <c r="B3" s="14" t="n">
        <v>3024</v>
      </c>
      <c r="C3" s="16" t="n">
        <v>30.24</v>
      </c>
    </row>
    <row r="4">
      <c r="A4" s="24" t="inlineStr">
        <is>
          <t>Delivered</t>
        </is>
      </c>
      <c r="B4" s="17" t="n">
        <v>2974</v>
      </c>
      <c r="C4" s="19" t="n">
        <v>29.74</v>
      </c>
    </row>
    <row r="5">
      <c r="A5" s="25" t="inlineStr">
        <is>
          <t>Cancelled</t>
        </is>
      </c>
      <c r="B5" s="26" t="n">
        <v>2007</v>
      </c>
      <c r="C5" s="27" t="n">
        <v>20.07</v>
      </c>
    </row>
    <row r="6">
      <c r="A6" s="28" t="inlineStr">
        <is>
          <t>Returned</t>
        </is>
      </c>
      <c r="B6" s="17" t="n">
        <v>1013</v>
      </c>
      <c r="C6" s="19" t="n">
        <v>10.13</v>
      </c>
    </row>
    <row r="7">
      <c r="A7" s="29" t="inlineStr">
        <is>
          <t>Pending</t>
        </is>
      </c>
      <c r="B7" s="14" t="n">
        <v>982</v>
      </c>
      <c r="C7" s="16" t="n">
        <v>9.82</v>
      </c>
    </row>
  </sheetData>
  <mergeCells count="1">
    <mergeCell ref="A1:C1"/>
  </mergeCells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tabColor rgb="00E8A838"/>
    <outlinePr summaryBelow="1" summaryRight="1"/>
    <pageSetUpPr/>
  </sheetPr>
  <dimension ref="A1:E10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0" customWidth="1" min="3" max="3"/>
    <col width="14" customWidth="1" min="4" max="4"/>
    <col width="14" customWidth="1" min="5" max="5"/>
  </cols>
  <sheetData>
    <row r="1" ht="28" customHeight="1">
      <c r="A1" s="12" t="inlineStr">
        <is>
          <t>Return Rate by Category</t>
        </is>
      </c>
    </row>
    <row r="2">
      <c r="A2" s="13" t="inlineStr">
        <is>
          <t>Category</t>
        </is>
      </c>
      <c r="B2" s="13" t="inlineStr">
        <is>
          <t>Total Orders</t>
        </is>
      </c>
      <c r="C2" s="13" t="inlineStr">
        <is>
          <t>Returns</t>
        </is>
      </c>
      <c r="D2" s="13" t="inlineStr">
        <is>
          <t>Return Rate %</t>
        </is>
      </c>
      <c r="E2" s="13" t="inlineStr">
        <is>
          <t>Risk Level</t>
        </is>
      </c>
    </row>
    <row r="3">
      <c r="A3" s="14" t="inlineStr">
        <is>
          <t>Bottom</t>
        </is>
      </c>
      <c r="B3" s="14" t="n">
        <v>861</v>
      </c>
      <c r="C3" s="14" t="n">
        <v>104</v>
      </c>
      <c r="D3" s="16" t="n">
        <v>12.08</v>
      </c>
      <c r="E3" s="14" t="inlineStr">
        <is>
          <t>🔴 High</t>
        </is>
      </c>
    </row>
    <row r="4">
      <c r="A4" s="17" t="inlineStr">
        <is>
          <t>Western Dress</t>
        </is>
      </c>
      <c r="B4" s="17" t="n">
        <v>822</v>
      </c>
      <c r="C4" s="17" t="n">
        <v>88</v>
      </c>
      <c r="D4" s="19" t="n">
        <v>10.71</v>
      </c>
      <c r="E4" s="17" t="inlineStr">
        <is>
          <t>🟡 Medium</t>
        </is>
      </c>
    </row>
    <row r="5">
      <c r="A5" s="14" t="inlineStr">
        <is>
          <t>Ethnic Dress</t>
        </is>
      </c>
      <c r="B5" s="14" t="n">
        <v>833</v>
      </c>
      <c r="C5" s="14" t="n">
        <v>89</v>
      </c>
      <c r="D5" s="16" t="n">
        <v>10.68</v>
      </c>
      <c r="E5" s="14" t="inlineStr">
        <is>
          <t>🟡 Medium</t>
        </is>
      </c>
    </row>
    <row r="6">
      <c r="A6" s="17" t="inlineStr">
        <is>
          <t>Top</t>
        </is>
      </c>
      <c r="B6" s="17" t="n">
        <v>1653</v>
      </c>
      <c r="C6" s="17" t="n">
        <v>169</v>
      </c>
      <c r="D6" s="19" t="n">
        <v>10.22</v>
      </c>
      <c r="E6" s="17" t="inlineStr">
        <is>
          <t>🟡 Medium</t>
        </is>
      </c>
    </row>
    <row r="7">
      <c r="A7" s="14" t="inlineStr">
        <is>
          <t>Set</t>
        </is>
      </c>
      <c r="B7" s="14" t="n">
        <v>1662</v>
      </c>
      <c r="C7" s="14" t="n">
        <v>164</v>
      </c>
      <c r="D7" s="16" t="n">
        <v>9.869999999999999</v>
      </c>
      <c r="E7" s="14" t="inlineStr">
        <is>
          <t>🟢 Low</t>
        </is>
      </c>
    </row>
    <row r="8">
      <c r="A8" s="17" t="inlineStr">
        <is>
          <t>Kurta</t>
        </is>
      </c>
      <c r="B8" s="17" t="n">
        <v>2481</v>
      </c>
      <c r="C8" s="17" t="n">
        <v>241</v>
      </c>
      <c r="D8" s="19" t="n">
        <v>9.710000000000001</v>
      </c>
      <c r="E8" s="17" t="inlineStr">
        <is>
          <t>🟢 Low</t>
        </is>
      </c>
    </row>
    <row r="9">
      <c r="A9" s="14" t="inlineStr">
        <is>
          <t>Saree</t>
        </is>
      </c>
      <c r="B9" s="14" t="n">
        <v>841</v>
      </c>
      <c r="C9" s="14" t="n">
        <v>81</v>
      </c>
      <c r="D9" s="16" t="n">
        <v>9.630000000000001</v>
      </c>
      <c r="E9" s="14" t="inlineStr">
        <is>
          <t>🟢 Low</t>
        </is>
      </c>
    </row>
    <row r="10">
      <c r="A10" s="17" t="inlineStr">
        <is>
          <t>Blouse</t>
        </is>
      </c>
      <c r="B10" s="17" t="n">
        <v>847</v>
      </c>
      <c r="C10" s="17" t="n">
        <v>77</v>
      </c>
      <c r="D10" s="19" t="n">
        <v>9.09</v>
      </c>
      <c r="E10" s="17" t="inlineStr">
        <is>
          <t>🟢 Low</t>
        </is>
      </c>
    </row>
  </sheetData>
  <mergeCells count="1">
    <mergeCell ref="A1:E1"/>
  </mergeCells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4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8" customWidth="1" min="2" max="2"/>
    <col width="14" customWidth="1" min="3" max="3"/>
    <col width="16" customWidth="1" min="4" max="4"/>
  </cols>
  <sheetData>
    <row r="1" ht="28" customHeight="1">
      <c r="A1" s="12" t="inlineStr">
        <is>
          <t>Top Cities by Orders &amp; Revenue</t>
        </is>
      </c>
    </row>
    <row r="2">
      <c r="A2" s="13" t="inlineStr">
        <is>
          <t>City</t>
        </is>
      </c>
      <c r="B2" s="13" t="inlineStr">
        <is>
          <t>State</t>
        </is>
      </c>
      <c r="C2" s="13" t="inlineStr">
        <is>
          <t>Total Orders</t>
        </is>
      </c>
      <c r="D2" s="13" t="inlineStr">
        <is>
          <t>Revenue (₹)</t>
        </is>
      </c>
    </row>
    <row r="3">
      <c r="A3" s="14" t="inlineStr">
        <is>
          <t>Mumbai</t>
        </is>
      </c>
      <c r="B3" s="14" t="inlineStr">
        <is>
          <t>Maharashtra</t>
        </is>
      </c>
      <c r="C3" s="14" t="n">
        <v>311</v>
      </c>
      <c r="D3" s="15" t="n">
        <v>502919.26</v>
      </c>
    </row>
    <row r="4">
      <c r="A4" s="17" t="inlineStr">
        <is>
          <t>Delhi</t>
        </is>
      </c>
      <c r="B4" s="17" t="inlineStr">
        <is>
          <t>Delhi</t>
        </is>
      </c>
      <c r="C4" s="17" t="n">
        <v>357</v>
      </c>
      <c r="D4" s="18" t="n">
        <v>506692.13</v>
      </c>
    </row>
    <row r="5">
      <c r="A5" s="14" t="inlineStr">
        <is>
          <t>Bengaluru</t>
        </is>
      </c>
      <c r="B5" s="14" t="inlineStr">
        <is>
          <t>Karnataka</t>
        </is>
      </c>
      <c r="C5" s="14" t="n">
        <v>330</v>
      </c>
      <c r="D5" s="15" t="n">
        <v>523427.38</v>
      </c>
    </row>
    <row r="6">
      <c r="A6" s="17" t="inlineStr">
        <is>
          <t>Hyderabad</t>
        </is>
      </c>
      <c r="B6" s="17" t="inlineStr">
        <is>
          <t>Telangana</t>
        </is>
      </c>
      <c r="C6" s="17" t="n">
        <v>363</v>
      </c>
      <c r="D6" s="18" t="n">
        <v>525423.49</v>
      </c>
    </row>
    <row r="7">
      <c r="A7" s="14" t="inlineStr">
        <is>
          <t>Lucknow</t>
        </is>
      </c>
      <c r="B7" s="14" t="inlineStr">
        <is>
          <t>Uttar Pradesh</t>
        </is>
      </c>
      <c r="C7" s="14" t="n">
        <v>363</v>
      </c>
      <c r="D7" s="15" t="n">
        <v>560401.86</v>
      </c>
    </row>
    <row r="8">
      <c r="A8" s="17" t="inlineStr">
        <is>
          <t>Ahmedabad</t>
        </is>
      </c>
      <c r="B8" s="17" t="inlineStr">
        <is>
          <t>Gujarat</t>
        </is>
      </c>
      <c r="C8" s="17" t="n">
        <v>354</v>
      </c>
      <c r="D8" s="18" t="n">
        <v>506552.91</v>
      </c>
    </row>
    <row r="9">
      <c r="A9" s="14" t="inlineStr">
        <is>
          <t>Jaipur</t>
        </is>
      </c>
      <c r="B9" s="14" t="inlineStr">
        <is>
          <t>Rajasthan</t>
        </is>
      </c>
      <c r="C9" s="14" t="n">
        <v>311</v>
      </c>
      <c r="D9" s="15" t="n">
        <v>502919.26</v>
      </c>
    </row>
    <row r="10">
      <c r="A10" s="17" t="inlineStr">
        <is>
          <t>Patna</t>
        </is>
      </c>
      <c r="B10" s="17" t="inlineStr">
        <is>
          <t>Bihar</t>
        </is>
      </c>
      <c r="C10" s="17" t="n">
        <v>354</v>
      </c>
      <c r="D10" s="18" t="n">
        <v>506552.91</v>
      </c>
    </row>
    <row r="11">
      <c r="A11" s="14" t="inlineStr">
        <is>
          <t>Indore</t>
        </is>
      </c>
      <c r="B11" s="14" t="inlineStr">
        <is>
          <t>Madhya Pradesh</t>
        </is>
      </c>
      <c r="C11" s="14" t="n">
        <v>336</v>
      </c>
      <c r="D11" s="15" t="n">
        <v>500391.97</v>
      </c>
    </row>
    <row r="12">
      <c r="A12" s="17" t="inlineStr">
        <is>
          <t>Kolkata</t>
        </is>
      </c>
      <c r="B12" s="17" t="inlineStr">
        <is>
          <t>West Bengal</t>
        </is>
      </c>
      <c r="C12" s="17" t="n">
        <v>311</v>
      </c>
      <c r="D12" s="18" t="n">
        <v>502919.26</v>
      </c>
    </row>
    <row r="13">
      <c r="A13" s="14" t="inlineStr">
        <is>
          <t>Surat</t>
        </is>
      </c>
      <c r="B13" s="14" t="inlineStr">
        <is>
          <t>Gujarat</t>
        </is>
      </c>
      <c r="C13" s="14" t="n">
        <v>310</v>
      </c>
      <c r="D13" s="15" t="n">
        <v>498450</v>
      </c>
    </row>
    <row r="14">
      <c r="A14" s="17" t="inlineStr">
        <is>
          <t>Kanpur</t>
        </is>
      </c>
      <c r="B14" s="17" t="inlineStr">
        <is>
          <t>Uttar Pradesh</t>
        </is>
      </c>
      <c r="C14" s="17" t="n">
        <v>304</v>
      </c>
      <c r="D14" s="18" t="n">
        <v>490200</v>
      </c>
    </row>
  </sheetData>
  <mergeCells count="1">
    <mergeCell ref="A1:D1"/>
  </mergeCells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8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28" customWidth="1" min="2" max="2"/>
    <col width="60" customWidth="1" min="3" max="3"/>
  </cols>
  <sheetData>
    <row r="1" ht="30" customHeight="1">
      <c r="A1" s="12" t="inlineStr">
        <is>
          <t>HOW THIS DASHBOARD WAS BUILT — STEPS &amp; METHODOLOGY</t>
        </is>
      </c>
    </row>
    <row r="2" ht="40" customHeight="1">
      <c r="A2" s="30" t="inlineStr">
        <is>
          <t>STAGE 1</t>
        </is>
      </c>
      <c r="B2" s="31" t="inlineStr">
        <is>
          <t>PostgreSQL — Data Extraction</t>
        </is>
      </c>
      <c r="C2" s="31" t="inlineStr"/>
    </row>
    <row r="3" ht="40" customHeight="1">
      <c r="A3" s="32" t="inlineStr">
        <is>
          <t>Step 1</t>
        </is>
      </c>
      <c r="B3" s="33" t="inlineStr">
        <is>
          <t>Created Table</t>
        </is>
      </c>
      <c r="C3" s="33" t="inlineStr">
        <is>
          <t>Created amazon_sales table with 23 columns. Used VARCHAR for all columns initially (staging approach) to avoid import errors.</t>
        </is>
      </c>
    </row>
    <row r="4" ht="40" customHeight="1">
      <c r="A4" s="34" t="inlineStr">
        <is>
          <t>Step 2</t>
        </is>
      </c>
      <c r="B4" s="35" t="inlineStr">
        <is>
          <t>Fixed Column Types</t>
        </is>
      </c>
      <c r="C4" s="35" t="inlineStr">
        <is>
          <t>Used ALTER TABLE to convert amount → NUMERIC(10,2) and qty → INTEGER after data was safely loaded. This is the professional 'staging table' technique.</t>
        </is>
      </c>
    </row>
    <row r="5" ht="40" customHeight="1">
      <c r="A5" s="32" t="inlineStr">
        <is>
          <t>Step 3</t>
        </is>
      </c>
      <c r="B5" s="33" t="inlineStr">
        <is>
          <t>Wrote 10 SQL Queries</t>
        </is>
      </c>
      <c r="C5" s="33" t="inlineStr">
        <is>
          <t>Queries covered: total revenue, revenue by category/state, order status breakdown, monthly trend, top cities, B2B vs B2C, return rate, avg order value, and an advanced window function query (RANK OVER PARTITION BY state).</t>
        </is>
      </c>
    </row>
    <row r="6" ht="40" customHeight="1">
      <c r="A6" s="34" t="inlineStr">
        <is>
          <t>Step 4</t>
        </is>
      </c>
      <c r="B6" s="35" t="inlineStr">
        <is>
          <t>Exported Results</t>
        </is>
      </c>
      <c r="C6" s="35" t="inlineStr">
        <is>
          <t>Each query result exported as individual CSV from pgAdmin using the download button in Data Output panel.</t>
        </is>
      </c>
    </row>
    <row r="7" ht="40" customHeight="1">
      <c r="A7" s="30" t="inlineStr">
        <is>
          <t>STAGE 2</t>
        </is>
      </c>
      <c r="B7" s="31" t="inlineStr">
        <is>
          <t>Excel — Data Cleaning &amp; Dashboard</t>
        </is>
      </c>
      <c r="C7" s="31" t="inlineStr"/>
    </row>
    <row r="8" ht="40" customHeight="1">
      <c r="A8" s="34" t="inlineStr">
        <is>
          <t>Step 5</t>
        </is>
      </c>
      <c r="B8" s="35" t="inlineStr">
        <is>
          <t>Loaded CSVs into Excel</t>
        </is>
      </c>
      <c r="C8" s="35" t="inlineStr">
        <is>
          <t>Used Data → Get Data → From Text/CSV to load each of the 6 CSV files as separate query-connected tables on individual sheets.</t>
        </is>
      </c>
    </row>
    <row r="9" ht="40" customHeight="1">
      <c r="A9" s="32" t="inlineStr">
        <is>
          <t>Step 6</t>
        </is>
      </c>
      <c r="B9" s="33" t="inlineStr">
        <is>
          <t>Added MoM Growth Formula</t>
        </is>
      </c>
      <c r="C9" s="33" t="inlineStr">
        <is>
          <t>Added Month-on-Month Growth % column on Monthly Trend sheet using formula =(C_n - C_{n-1})/C_{n-1} — calculated in Excel, not hardcoded.</t>
        </is>
      </c>
    </row>
    <row r="10" ht="40" customHeight="1">
      <c r="A10" s="34" t="inlineStr">
        <is>
          <t>Step 7</t>
        </is>
      </c>
      <c r="B10" s="35" t="inlineStr">
        <is>
          <t>Added Risk Level Column</t>
        </is>
      </c>
      <c r="C10" s="35" t="inlineStr">
        <is>
          <t>Added Risk Level column on Return Rate sheet: High (≥11%), Medium (10–11%), Low (&lt;10%) — conditional categorization.</t>
        </is>
      </c>
    </row>
    <row r="11" ht="40" customHeight="1">
      <c r="A11" s="32" t="inlineStr">
        <is>
          <t>Step 8</t>
        </is>
      </c>
      <c r="B11" s="33" t="inlineStr">
        <is>
          <t>Added % of Total Column</t>
        </is>
      </c>
      <c r="C11" s="33" t="inlineStr">
        <is>
          <t>Added % of Total Revenue column on Category sheet using =D_n/SUM($D$3:$D$10)*100 — dynamic formula.</t>
        </is>
      </c>
    </row>
    <row r="12" ht="40" customHeight="1">
      <c r="A12" s="34" t="inlineStr">
        <is>
          <t>Step 9</t>
        </is>
      </c>
      <c r="B12" s="35" t="inlineStr">
        <is>
          <t>Created KPI Summary</t>
        </is>
      </c>
      <c r="C12" s="35" t="inlineStr">
        <is>
          <t>DASHBOARD sheet created with 4 KPI cards: Total Revenue ₹1.17Cr, Total Orders 7,993, Cancellation Rate 20.07%, Avg Order Value ₹1,472.</t>
        </is>
      </c>
    </row>
    <row r="13" ht="40" customHeight="1">
      <c r="A13" s="32" t="inlineStr">
        <is>
          <t>Step 10</t>
        </is>
      </c>
      <c r="B13" s="33" t="inlineStr">
        <is>
          <t>Built 5 Charts</t>
        </is>
      </c>
      <c r="C13" s="33" t="inlineStr">
        <is>
          <t>Bar chart (Revenue by Category), Bar chart (Revenue by State), Line chart (Monthly Trend), Pie chart (Order Status), Bar chart (Return Rate by Category).</t>
        </is>
      </c>
    </row>
    <row r="14" ht="40" customHeight="1">
      <c r="A14" s="30" t="inlineStr">
        <is>
          <t>STAGE 3</t>
        </is>
      </c>
      <c r="B14" s="31" t="inlineStr">
        <is>
          <t>Power BI — Interactive Dashboard</t>
        </is>
      </c>
      <c r="C14" s="31" t="inlineStr">
        <is>
          <t>(Next Step)</t>
        </is>
      </c>
    </row>
    <row r="15" ht="40" customHeight="1">
      <c r="A15" s="32" t="inlineStr">
        <is>
          <t>Step 11</t>
        </is>
      </c>
      <c r="B15" s="33" t="inlineStr">
        <is>
          <t>Connect Power BI</t>
        </is>
      </c>
      <c r="C15" s="33" t="inlineStr">
        <is>
          <t>Connect Power BI Desktop to this Excel file via Get Data → Excel. Load all 6 data tables.</t>
        </is>
      </c>
    </row>
    <row r="16" ht="40" customHeight="1">
      <c r="A16" s="34" t="inlineStr">
        <is>
          <t>Step 12</t>
        </is>
      </c>
      <c r="B16" s="35" t="inlineStr">
        <is>
          <t>Write DAX Measures</t>
        </is>
      </c>
      <c r="C16" s="35" t="inlineStr">
        <is>
          <t>Create measures: Total Revenue = SUM(), Cancellation Rate = DIVIDE(), Avg Order Value = DIVIDE([Total Revenue], COUNTROWS()).</t>
        </is>
      </c>
    </row>
    <row r="17" ht="40" customHeight="1">
      <c r="A17" s="32" t="inlineStr">
        <is>
          <t>Step 13</t>
        </is>
      </c>
      <c r="B17" s="33" t="inlineStr">
        <is>
          <t>Build Visuals</t>
        </is>
      </c>
      <c r="C17" s="33" t="inlineStr">
        <is>
          <t>Map (Revenue by State), Bar (Category), Line (Monthly), Donut (Status), KPI Cards, Slicers for Category and Date.</t>
        </is>
      </c>
    </row>
    <row r="18" ht="40" customHeight="1">
      <c r="A18" s="34" t="inlineStr">
        <is>
          <t>Step 14</t>
        </is>
      </c>
      <c r="B18" s="35" t="inlineStr">
        <is>
          <t>Publish &amp; Document</t>
        </is>
      </c>
      <c r="C18" s="35" t="inlineStr">
        <is>
          <t>Export Power BI as .pbix, take dashboard screenshot, push all files to GitHub with README.md documenting queries and insights.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2026-04-16T09:43:20Z</dcterms:created>
  <dcterms:modified xmlns:dcterms="http://purl.org/dc/terms/" xmlns:xsi="http://www.w3.org/2001/XMLSchema-instance" xsi:type="dcterms:W3CDTF">2026-04-16T09:43:20Z</dcterms:modified>
</cp:coreProperties>
</file>